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b2f15159c6d541/Documents/Canada Jobs/Data Analytics Jobs/Asana/Project 1/"/>
    </mc:Choice>
  </mc:AlternateContent>
  <xr:revisionPtr revIDLastSave="0" documentId="8_{9C25229A-BC66-4298-82E2-02881088DBD7}" xr6:coauthVersionLast="47" xr6:coauthVersionMax="47" xr10:uidLastSave="{00000000-0000-0000-0000-000000000000}"/>
  <bookViews>
    <workbookView xWindow="-110" yWindow="-110" windowWidth="19420" windowHeight="10300" xr2:uid="{B402F338-9A8E-43F8-996F-4F52C1477AEE}"/>
  </bookViews>
  <sheets>
    <sheet name="Sales_Analysis" sheetId="1" r:id="rId1"/>
    <sheet name="Net Profit Chart" sheetId="2" r:id="rId2"/>
    <sheet name="Manager Pitch" sheetId="3" r:id="rId3"/>
    <sheet name="Bonus Challen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7" i="4"/>
  <c r="C6" i="4"/>
  <c r="C5" i="4"/>
  <c r="C4" i="4"/>
  <c r="B5" i="2"/>
  <c r="B6" i="2"/>
  <c r="B4" i="2"/>
  <c r="B13" i="1"/>
  <c r="B12" i="1"/>
  <c r="B11" i="1"/>
  <c r="B10" i="1"/>
  <c r="D6" i="1"/>
  <c r="E6" i="1" s="1"/>
  <c r="D7" i="1"/>
  <c r="E7" i="1" s="1"/>
  <c r="D5" i="1"/>
  <c r="E5" i="1" s="1"/>
</calcChain>
</file>

<file path=xl/sharedStrings.xml><?xml version="1.0" encoding="utf-8"?>
<sst xmlns="http://schemas.openxmlformats.org/spreadsheetml/2006/main" count="48" uniqueCount="42">
  <si>
    <t>SMITH INC</t>
  </si>
  <si>
    <t>Monthly Operations Review</t>
  </si>
  <si>
    <t>Branch</t>
  </si>
  <si>
    <t>Total Sales</t>
  </si>
  <si>
    <t>Operating Cost</t>
  </si>
  <si>
    <t>Net Profit</t>
  </si>
  <si>
    <t>Profit Margin %</t>
  </si>
  <si>
    <t>Customer Feedback</t>
  </si>
  <si>
    <t>Sentiment Rank</t>
  </si>
  <si>
    <t>Sentiment Justification</t>
  </si>
  <si>
    <t>Branch A</t>
  </si>
  <si>
    <t>Branch B</t>
  </si>
  <si>
    <t>Branch C</t>
  </si>
  <si>
    <t>Great service, but long queues.</t>
  </si>
  <si>
    <t xml:space="preserve">Expensive shipping and slow delivery show clear negative customer experience matters. </t>
  </si>
  <si>
    <t>Good service, but long queues reduce the customer experience.</t>
  </si>
  <si>
    <t>Dependable stock availability and friendly stafff points to the strongest customer experience.</t>
  </si>
  <si>
    <t>Always has stock, friendly staff.</t>
  </si>
  <si>
    <t>Expensive shipping, slow delivery.</t>
  </si>
  <si>
    <t>Summary</t>
  </si>
  <si>
    <t>Total Operating Cost</t>
  </si>
  <si>
    <t>Total Net Profit</t>
  </si>
  <si>
    <t>Overall Profit Margin</t>
  </si>
  <si>
    <t>Net Profit by Branch</t>
  </si>
  <si>
    <t>Manager Recommendation</t>
  </si>
  <si>
    <t>Recommendation</t>
  </si>
  <si>
    <t xml:space="preserve">Branch C Bonus Challenge </t>
  </si>
  <si>
    <t>Step</t>
  </si>
  <si>
    <t>Calculation</t>
  </si>
  <si>
    <t>Result</t>
  </si>
  <si>
    <t>Original Operating Cost</t>
  </si>
  <si>
    <t>Cost Reduction</t>
  </si>
  <si>
    <t>New Operating Cost</t>
  </si>
  <si>
    <t>New Net Profit</t>
  </si>
  <si>
    <t>New Profit Margin %</t>
  </si>
  <si>
    <t>NOTE</t>
  </si>
  <si>
    <t>Given</t>
  </si>
  <si>
    <t>15% x Original Cost</t>
  </si>
  <si>
    <t>Original Cost - Cost Reduction</t>
  </si>
  <si>
    <t>Sales -New Operating Cost</t>
  </si>
  <si>
    <r>
      <t xml:space="preserve">New Net Profit </t>
    </r>
    <r>
      <rPr>
        <sz val="11"/>
        <color theme="1"/>
        <rFont val="Aptos Narrow"/>
        <family val="2"/>
      </rPr>
      <t>÷</t>
    </r>
    <r>
      <rPr>
        <sz val="11"/>
        <color theme="1"/>
        <rFont val="Aptos Narrow"/>
        <family val="2"/>
        <scheme val="minor"/>
      </rPr>
      <t xml:space="preserve"> Sales </t>
    </r>
  </si>
  <si>
    <t xml:space="preserve">When Branch C reduces operating cost by 15%, its new operating cost is $40,800, new net profit is $11,200, and new profit margin is 21.54%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</si>
</sst>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/>
    <xf numFmtId="10" fontId="4" fillId="0" borderId="0" xfId="2" applyNumberFormat="1" applyFont="1"/>
    <xf numFmtId="0" fontId="5" fillId="0" borderId="0" xfId="0" applyFont="1"/>
    <xf numFmtId="166" fontId="4" fillId="0" borderId="0" xfId="1" applyNumberFormat="1" applyFont="1" applyAlignment="1">
      <alignment horizontal="left" indent="2"/>
    </xf>
    <xf numFmtId="166" fontId="4" fillId="0" borderId="0" xfId="1" applyNumberFormat="1" applyFont="1" applyAlignment="1">
      <alignment horizontal="left"/>
    </xf>
    <xf numFmtId="166" fontId="4" fillId="0" borderId="0" xfId="0" applyNumberFormat="1" applyFont="1" applyAlignment="1">
      <alignment horizontal="left" indent="1"/>
    </xf>
    <xf numFmtId="166" fontId="0" fillId="0" borderId="0" xfId="0" applyNumberFormat="1" applyAlignment="1">
      <alignment horizontal="left" indent="1"/>
    </xf>
    <xf numFmtId="10" fontId="0" fillId="0" borderId="0" xfId="2" applyNumberFormat="1" applyFont="1"/>
    <xf numFmtId="0" fontId="6" fillId="0" borderId="0" xfId="0" applyFont="1"/>
    <xf numFmtId="0" fontId="2" fillId="3" borderId="0" xfId="0" applyFont="1" applyFill="1"/>
    <xf numFmtId="0" fontId="7" fillId="0" borderId="0" xfId="0" applyFont="1"/>
    <xf numFmtId="166" fontId="2" fillId="0" borderId="0" xfId="1" applyNumberFormat="1" applyFont="1" applyAlignment="1">
      <alignment horizontal="left" indent="6"/>
    </xf>
    <xf numFmtId="10" fontId="2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'Net Profit Chart'!$B$3</c:f>
              <c:strCache>
                <c:ptCount val="1"/>
                <c:pt idx="0">
                  <c:v>Net Profit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F8-4D86-AB44-CA12DABD06D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F8-4D86-AB44-CA12DABD06D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2F8-4D86-AB44-CA12DABD06D4}"/>
              </c:ext>
            </c:extLst>
          </c:dPt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'Net Profit Chart'!$A$4:$A$6</c:f>
              <c:strCache>
                <c:ptCount val="3"/>
                <c:pt idx="0">
                  <c:v>Branch A</c:v>
                </c:pt>
                <c:pt idx="1">
                  <c:v>Branch B</c:v>
                </c:pt>
                <c:pt idx="2">
                  <c:v>Branch C</c:v>
                </c:pt>
              </c:strCache>
            </c:strRef>
          </c:cat>
          <c:val>
            <c:numRef>
              <c:f>'Net Profit Chart'!$B$4:$B$6</c:f>
              <c:numCache>
                <c:formatCode>_("$"* #,##0_);_("$"* \(#,##0\);_("$"* "-"??_);_(@_)</c:formatCode>
                <c:ptCount val="3"/>
                <c:pt idx="0">
                  <c:v>13000</c:v>
                </c:pt>
                <c:pt idx="1">
                  <c:v>17500</c:v>
                </c:pt>
                <c:pt idx="2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8-4D86-AB44-CA12DABD0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361971440"/>
        <c:axId val="361988240"/>
      </c:barChart>
      <c:catAx>
        <c:axId val="36197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88240"/>
        <c:crosses val="autoZero"/>
        <c:auto val="1"/>
        <c:lblAlgn val="ctr"/>
        <c:lblOffset val="100"/>
        <c:noMultiLvlLbl val="0"/>
      </c:catAx>
      <c:valAx>
        <c:axId val="361988240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7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2</xdr:row>
      <xdr:rowOff>12700</xdr:rowOff>
    </xdr:from>
    <xdr:to>
      <xdr:col>11</xdr:col>
      <xdr:colOff>635000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F38CC-A338-3A1E-3AF3-F4AB8F42F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165100</xdr:rowOff>
    </xdr:from>
    <xdr:to>
      <xdr:col>12</xdr:col>
      <xdr:colOff>0</xdr:colOff>
      <xdr:row>8</xdr:row>
      <xdr:rowOff>158750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BF6647-A070-970B-9C84-BAFF1D73FD65}"/>
            </a:ext>
          </a:extLst>
        </xdr:cNvPr>
        <xdr:cNvSpPr txBox="1"/>
      </xdr:nvSpPr>
      <xdr:spPr>
        <a:xfrm>
          <a:off x="12700" y="520700"/>
          <a:ext cx="7912100" cy="10604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Branch B should receive the Performance Bonus because it has the highest net profit of $17,500, the highest profit margin of 45.45%, and the best customer feedback - always has stock and friendly staff. Branch C should receive a Progress Improvement plan because, notwithstanding it generated the highest sales of $52,000, its net profit of $4,000 and profit margin of 7.69% are much lower than the other two branches; it also has a negative customer review - expensive shipping and slow delivery. Branch A is profitable with a $13,000 net profit, but its long queues as reviewed by a customer, suggest an opportunity to improve service speed and customer flow.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5FEE-655F-4E32-A27E-4F6A3EE0A8E9}">
  <dimension ref="A1:H13"/>
  <sheetViews>
    <sheetView tabSelected="1" topLeftCell="A3" workbookViewId="0">
      <selection activeCell="H7" sqref="H7"/>
    </sheetView>
  </sheetViews>
  <sheetFormatPr defaultRowHeight="14"/>
  <cols>
    <col min="1" max="1" width="10.1640625" customWidth="1"/>
    <col min="2" max="2" width="11.4140625" customWidth="1"/>
    <col min="3" max="3" width="9.6640625" customWidth="1"/>
    <col min="4" max="4" width="10" customWidth="1"/>
    <col min="5" max="5" width="10.08203125" customWidth="1"/>
    <col min="6" max="6" width="27.9140625" customWidth="1"/>
    <col min="7" max="7" width="10.75" customWidth="1"/>
    <col min="8" max="8" width="20.08203125" customWidth="1"/>
  </cols>
  <sheetData>
    <row r="1" spans="1:8" ht="18.5">
      <c r="A1" s="8" t="s">
        <v>0</v>
      </c>
      <c r="B1" s="8"/>
      <c r="C1" s="8"/>
    </row>
    <row r="2" spans="1:8" ht="18.5">
      <c r="A2" s="8" t="s">
        <v>1</v>
      </c>
      <c r="B2" s="8"/>
      <c r="C2" s="8"/>
    </row>
    <row r="4" spans="1:8" ht="29" customHeight="1">
      <c r="A4" s="4" t="s">
        <v>2</v>
      </c>
      <c r="B4" s="5" t="s">
        <v>3</v>
      </c>
      <c r="C4" s="5" t="s">
        <v>4</v>
      </c>
      <c r="D4" s="6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ht="16">
      <c r="A5" s="3" t="s">
        <v>10</v>
      </c>
      <c r="B5" s="9">
        <v>45000</v>
      </c>
      <c r="C5" s="10">
        <v>32000</v>
      </c>
      <c r="D5" s="11">
        <f>B5-C5</f>
        <v>13000</v>
      </c>
      <c r="E5" s="7">
        <f>D5/B5</f>
        <v>0.28888888888888886</v>
      </c>
      <c r="F5" s="3" t="s">
        <v>13</v>
      </c>
      <c r="G5" s="3">
        <v>2</v>
      </c>
      <c r="H5" s="3" t="s">
        <v>15</v>
      </c>
    </row>
    <row r="6" spans="1:8" ht="16">
      <c r="A6" s="3" t="s">
        <v>11</v>
      </c>
      <c r="B6" s="9">
        <v>38500</v>
      </c>
      <c r="C6" s="10">
        <v>21000</v>
      </c>
      <c r="D6" s="11">
        <f t="shared" ref="D6:D7" si="0">B6-C6</f>
        <v>17500</v>
      </c>
      <c r="E6" s="7">
        <f t="shared" ref="E6:E7" si="1">D6/B6</f>
        <v>0.45454545454545453</v>
      </c>
      <c r="F6" s="3" t="s">
        <v>17</v>
      </c>
      <c r="G6" s="3">
        <v>1</v>
      </c>
      <c r="H6" s="3" t="s">
        <v>16</v>
      </c>
    </row>
    <row r="7" spans="1:8" ht="16">
      <c r="A7" s="3" t="s">
        <v>12</v>
      </c>
      <c r="B7" s="9">
        <v>52000</v>
      </c>
      <c r="C7" s="10">
        <v>48000</v>
      </c>
      <c r="D7" s="11">
        <f t="shared" si="0"/>
        <v>4000</v>
      </c>
      <c r="E7" s="7">
        <f t="shared" si="1"/>
        <v>7.6923076923076927E-2</v>
      </c>
      <c r="F7" s="3" t="s">
        <v>18</v>
      </c>
      <c r="G7" s="3">
        <v>3</v>
      </c>
      <c r="H7" s="3" t="s">
        <v>14</v>
      </c>
    </row>
    <row r="8" spans="1:8" ht="16">
      <c r="A8" s="3"/>
      <c r="B8" s="3"/>
      <c r="C8" s="3"/>
      <c r="D8" s="3"/>
      <c r="E8" s="3"/>
      <c r="F8" s="3"/>
      <c r="G8" s="3"/>
      <c r="H8" s="3"/>
    </row>
    <row r="9" spans="1:8" ht="16">
      <c r="A9" s="2" t="s">
        <v>19</v>
      </c>
      <c r="B9" s="3"/>
      <c r="C9" s="3"/>
      <c r="D9" s="3"/>
      <c r="E9" s="3"/>
      <c r="F9" s="3"/>
      <c r="G9" s="3"/>
      <c r="H9" s="3"/>
    </row>
    <row r="10" spans="1:8" ht="16">
      <c r="A10" s="2" t="s">
        <v>3</v>
      </c>
      <c r="B10" s="11">
        <f>SUM(B5:B7)</f>
        <v>135500</v>
      </c>
      <c r="C10" s="3"/>
      <c r="D10" s="3"/>
      <c r="E10" s="3"/>
      <c r="F10" s="3"/>
      <c r="G10" s="3"/>
      <c r="H10" s="3"/>
    </row>
    <row r="11" spans="1:8" ht="16">
      <c r="A11" s="2" t="s">
        <v>20</v>
      </c>
      <c r="B11" s="12">
        <f>SUM(C5:C7)</f>
        <v>101000</v>
      </c>
    </row>
    <row r="12" spans="1:8" ht="16">
      <c r="A12" s="2" t="s">
        <v>21</v>
      </c>
      <c r="B12" s="12">
        <f>SUM(D5:D7)</f>
        <v>34500</v>
      </c>
    </row>
    <row r="13" spans="1:8" ht="16">
      <c r="A13" s="2" t="s">
        <v>22</v>
      </c>
      <c r="B13" s="13">
        <f>B12/B10</f>
        <v>0.25461254612546125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3625-7FA5-4EAD-8281-7DD537E3A903}">
  <dimension ref="A1:B6"/>
  <sheetViews>
    <sheetView workbookViewId="0">
      <selection activeCell="B13" sqref="B13"/>
    </sheetView>
  </sheetViews>
  <sheetFormatPr defaultRowHeight="14"/>
  <cols>
    <col min="2" max="2" width="10.25" customWidth="1"/>
  </cols>
  <sheetData>
    <row r="1" spans="1:2">
      <c r="A1" s="1" t="s">
        <v>23</v>
      </c>
    </row>
    <row r="3" spans="1:2">
      <c r="A3" s="15" t="s">
        <v>2</v>
      </c>
      <c r="B3" s="15" t="s">
        <v>5</v>
      </c>
    </row>
    <row r="4" spans="1:2" ht="16">
      <c r="A4" t="s">
        <v>10</v>
      </c>
      <c r="B4" s="11">
        <f>Sales_Analysis!D5</f>
        <v>13000</v>
      </c>
    </row>
    <row r="5" spans="1:2" ht="16">
      <c r="A5" t="s">
        <v>11</v>
      </c>
      <c r="B5" s="11">
        <f>Sales_Analysis!D6</f>
        <v>17500</v>
      </c>
    </row>
    <row r="6" spans="1:2" ht="16">
      <c r="A6" t="s">
        <v>12</v>
      </c>
      <c r="B6" s="11">
        <f>Sales_Analysis!D7</f>
        <v>4000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076D-B158-44D6-9342-2BE2150D9163}">
  <dimension ref="A1:A3"/>
  <sheetViews>
    <sheetView workbookViewId="0">
      <selection activeCell="D12" sqref="D12"/>
    </sheetView>
  </sheetViews>
  <sheetFormatPr defaultRowHeight="14"/>
  <sheetData>
    <row r="1" spans="1:1" ht="23.5">
      <c r="A1" s="14" t="s">
        <v>24</v>
      </c>
    </row>
    <row r="3" spans="1:1">
      <c r="A3" s="1" t="s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98A9-B4E0-408B-B831-8D981192D6AB}">
  <dimension ref="A1:C11"/>
  <sheetViews>
    <sheetView workbookViewId="0">
      <selection activeCell="B15" sqref="B15"/>
    </sheetView>
  </sheetViews>
  <sheetFormatPr defaultRowHeight="14"/>
  <cols>
    <col min="1" max="1" width="20.6640625" customWidth="1"/>
    <col min="2" max="2" width="28.9140625" customWidth="1"/>
    <col min="3" max="3" width="18.1640625" customWidth="1"/>
  </cols>
  <sheetData>
    <row r="1" spans="1:3" ht="18.5">
      <c r="A1" s="16" t="s">
        <v>26</v>
      </c>
    </row>
    <row r="3" spans="1:3">
      <c r="A3" s="15" t="s">
        <v>27</v>
      </c>
      <c r="B3" s="15" t="s">
        <v>28</v>
      </c>
      <c r="C3" s="15" t="s">
        <v>29</v>
      </c>
    </row>
    <row r="4" spans="1:3">
      <c r="A4" t="s">
        <v>30</v>
      </c>
      <c r="B4" t="s">
        <v>36</v>
      </c>
      <c r="C4" s="17">
        <f>Sales_Analysis!C7</f>
        <v>48000</v>
      </c>
    </row>
    <row r="5" spans="1:3">
      <c r="A5" t="s">
        <v>31</v>
      </c>
      <c r="B5" t="s">
        <v>37</v>
      </c>
      <c r="C5" s="17">
        <f>C4*15%</f>
        <v>7200</v>
      </c>
    </row>
    <row r="6" spans="1:3">
      <c r="A6" t="s">
        <v>32</v>
      </c>
      <c r="B6" t="s">
        <v>38</v>
      </c>
      <c r="C6" s="17">
        <f>C4-C5</f>
        <v>40800</v>
      </c>
    </row>
    <row r="7" spans="1:3">
      <c r="A7" t="s">
        <v>33</v>
      </c>
      <c r="B7" t="s">
        <v>39</v>
      </c>
      <c r="C7" s="17">
        <f>Sales_Analysis!B7-C6</f>
        <v>11200</v>
      </c>
    </row>
    <row r="8" spans="1:3">
      <c r="A8" t="s">
        <v>34</v>
      </c>
      <c r="B8" t="s">
        <v>40</v>
      </c>
      <c r="C8" s="18">
        <f>C7/Sales_Analysis!B7</f>
        <v>0.2153846153846154</v>
      </c>
    </row>
    <row r="10" spans="1:3">
      <c r="A10" s="1" t="s">
        <v>35</v>
      </c>
    </row>
    <row r="11" spans="1:3">
      <c r="A1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Sales_Analysis</vt:lpstr>
      <vt:lpstr>Net Profit Chart</vt:lpstr>
      <vt:lpstr>Manager Pitch</vt:lpstr>
      <vt:lpstr>Bonus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Nwani</dc:creator>
  <cp:lastModifiedBy>Emmanuel Nwani</cp:lastModifiedBy>
  <cp:lastPrinted>2026-09-16T06:31:32Z</cp:lastPrinted>
  <dcterms:created xsi:type="dcterms:W3CDTF">2026-09-16T03:43:47Z</dcterms:created>
  <dcterms:modified xsi:type="dcterms:W3CDTF">2026-09-16T06:46:20Z</dcterms:modified>
</cp:coreProperties>
</file>